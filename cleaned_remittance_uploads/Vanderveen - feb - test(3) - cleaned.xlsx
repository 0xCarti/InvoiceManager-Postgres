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Excel Imports\testing\"/>
    </mc:Choice>
  </mc:AlternateContent>
  <xr:revisionPtr revIDLastSave="0" documentId="8_{47E6E81D-581C-45FA-B76F-28C33CB1CFAA}" xr6:coauthVersionLast="47" xr6:coauthVersionMax="47" xr10:uidLastSave="{00000000-0000-0000-0000-000000000000}"/>
  <bookViews>
    <workbookView xWindow="19090" yWindow="430" windowWidth="19420" windowHeight="10300" firstSheet="1" activeTab="1" xr2:uid="{00000000-000D-0000-FFFF-FFFF00000000}"/>
  </bookViews>
  <sheets>
    <sheet name="Instructions" sheetId="2" r:id="rId1"/>
    <sheet name="Template" sheetId="1" r:id="rId2"/>
  </sheets>
  <definedNames>
    <definedName name="_xlnm._FilterDatabase" localSheetId="1" hidden="1">Template!$C$1:$C$23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1" l="1"/>
  <c r="U18" i="1"/>
  <c r="U19" i="1"/>
  <c r="U20" i="1"/>
  <c r="U21" i="1"/>
  <c r="U22" i="1"/>
  <c r="U16" i="1"/>
  <c r="U17" i="1"/>
  <c r="U9" i="1"/>
  <c r="U10" i="1"/>
  <c r="U11" i="1"/>
  <c r="U12" i="1"/>
  <c r="U13" i="1"/>
  <c r="U14" i="1"/>
  <c r="U15" i="1"/>
  <c r="U5" i="1"/>
  <c r="U6" i="1"/>
  <c r="U7" i="1"/>
  <c r="U8" i="1"/>
  <c r="U3" i="1"/>
  <c r="U4" i="1"/>
  <c r="U2" i="1"/>
</calcChain>
</file>

<file path=xl/sharedStrings.xml><?xml version="1.0" encoding="utf-8"?>
<sst xmlns="http://schemas.openxmlformats.org/spreadsheetml/2006/main" count="300" uniqueCount="145">
  <si>
    <t>Check-Off Remittance Template</t>
  </si>
  <si>
    <t>SUNFLOWER, CORN, PULSE, FLAX TEMPLATE</t>
  </si>
  <si>
    <t>Instructions and information for each column</t>
  </si>
  <si>
    <t>Column Name</t>
  </si>
  <si>
    <t>Format</t>
  </si>
  <si>
    <t>Additional Information</t>
  </si>
  <si>
    <t>Dealer/Company Name</t>
  </si>
  <si>
    <t>Text</t>
  </si>
  <si>
    <t>Levy Date/Report Date</t>
  </si>
  <si>
    <t>Date</t>
  </si>
  <si>
    <t>DD/MM/YYYY</t>
  </si>
  <si>
    <t>Producer Business Name</t>
  </si>
  <si>
    <t xml:space="preserve">Text </t>
  </si>
  <si>
    <t>If no Business Name, input as Last Name First Name (no commas)</t>
  </si>
  <si>
    <t>Producer First Name</t>
  </si>
  <si>
    <t>Producer Last Name</t>
  </si>
  <si>
    <t>Address</t>
  </si>
  <si>
    <t>If only a Box #, input as BOX 1111 (not PO BOX 1111)</t>
  </si>
  <si>
    <t>City</t>
  </si>
  <si>
    <t>Province</t>
  </si>
  <si>
    <t>Input as 2-letter code (MB, SK, etc)</t>
  </si>
  <si>
    <t>Postal/Zip Code</t>
  </si>
  <si>
    <t>Text/Numbers</t>
  </si>
  <si>
    <t>Input as A1B 2C3 (space between)</t>
  </si>
  <si>
    <t>Country</t>
  </si>
  <si>
    <t>Email</t>
  </si>
  <si>
    <t>Not a required field.  Commodity Group staff will enter</t>
  </si>
  <si>
    <t>Month</t>
  </si>
  <si>
    <t>Number</t>
  </si>
  <si>
    <t>Commodity Group staff will enter</t>
  </si>
  <si>
    <t>Year</t>
  </si>
  <si>
    <t>Tonnage (QTY MT)</t>
  </si>
  <si>
    <t>Weight must be entered as metric tonnes (not bushels)</t>
  </si>
  <si>
    <t>Price/MT</t>
  </si>
  <si>
    <t>Currency</t>
  </si>
  <si>
    <t>Default is CAD. Commodity group staff will enter USD as needed.</t>
  </si>
  <si>
    <t>Grain Type</t>
  </si>
  <si>
    <t>** SEE BELOW FOR CODES: Enter full word of commodity</t>
  </si>
  <si>
    <t>Cash Ticket Number</t>
  </si>
  <si>
    <t>Purchase/Ticket Date</t>
  </si>
  <si>
    <t>YYYY/MM/DD</t>
  </si>
  <si>
    <t>Settlement Date</t>
  </si>
  <si>
    <t>Data must be input in the above format.</t>
  </si>
  <si>
    <t xml:space="preserve">All the column's highlighted in Orange are mandatory for data integration. </t>
  </si>
  <si>
    <t>GRAIN TYPE CODES</t>
  </si>
  <si>
    <t>Manitoba Corn Growers</t>
  </si>
  <si>
    <t>CORN</t>
  </si>
  <si>
    <t>Manitoba Flax Growers                                 </t>
  </si>
  <si>
    <t>FLAX SEED</t>
  </si>
  <si>
    <t>FLAX STRAW</t>
  </si>
  <si>
    <t>SOLIN SEED</t>
  </si>
  <si>
    <t>SOLIN STRAW</t>
  </si>
  <si>
    <t>Sunflower </t>
  </si>
  <si>
    <t>CONFECTIONARY</t>
  </si>
  <si>
    <t>OILSEED</t>
  </si>
  <si>
    <t>SAFFLOWER</t>
  </si>
  <si>
    <t>Manitoba Pulse &amp; Soybean Growers                                                                                    Soybeans</t>
  </si>
  <si>
    <t>BLACK BEANS</t>
  </si>
  <si>
    <t>CHICKPEAS</t>
  </si>
  <si>
    <t>CRANBERRY BEANS</t>
  </si>
  <si>
    <t>FABA BEANS</t>
  </si>
  <si>
    <t>FEED PEAS</t>
  </si>
  <si>
    <t>GREAT NORTHERN BEANS</t>
  </si>
  <si>
    <t>GREEN PEAS</t>
  </si>
  <si>
    <t>KIDNEY BEANS</t>
  </si>
  <si>
    <t>LENTILS</t>
  </si>
  <si>
    <t>LIGHT RED KIDNEY BEANS</t>
  </si>
  <si>
    <t>NAVY BEANS</t>
  </si>
  <si>
    <t>OTEBO BEANS</t>
  </si>
  <si>
    <t>PEAS</t>
  </si>
  <si>
    <t>PINK BEANS</t>
  </si>
  <si>
    <t>PINTO BEANS</t>
  </si>
  <si>
    <t>SMALL RED BEANS</t>
  </si>
  <si>
    <t>SMALL RED MEXICAN BEANS</t>
  </si>
  <si>
    <t>SOYBEANS</t>
  </si>
  <si>
    <t>YELLOW BEANS</t>
  </si>
  <si>
    <t>YELLOW PEAS</t>
  </si>
  <si>
    <t>DealerCompanyName</t>
  </si>
  <si>
    <t>LevyDateReportDate</t>
  </si>
  <si>
    <t>ProducerBusinessName</t>
  </si>
  <si>
    <t>Producer FirstName</t>
  </si>
  <si>
    <t>Producer LastName</t>
  </si>
  <si>
    <t>Postal/ZipCode</t>
  </si>
  <si>
    <t>EmailAddress</t>
  </si>
  <si>
    <t>Tonnage</t>
  </si>
  <si>
    <t>PriceMT</t>
  </si>
  <si>
    <t>GrainType</t>
  </si>
  <si>
    <t>CashTicketNumber</t>
  </si>
  <si>
    <t>SettlementDate</t>
  </si>
  <si>
    <t>Check Off Amount</t>
  </si>
  <si>
    <t>MB</t>
  </si>
  <si>
    <t>Canada</t>
  </si>
  <si>
    <t>CAD</t>
  </si>
  <si>
    <t>VCS</t>
  </si>
  <si>
    <t>Dugald</t>
  </si>
  <si>
    <t>Over the Hill Farms Box 81 Cypress Hill MB R0K 0P0</t>
  </si>
  <si>
    <t>Bill Vaags Ltd. Box 14 GRP 16 RR1 Dugald MB R0E 0K0</t>
  </si>
  <si>
    <t>Kelroe Farms Ltd 1000 Blackdale Road. West St. Paul MB R4A 9A4</t>
  </si>
  <si>
    <t>Box 221</t>
  </si>
  <si>
    <t>Elm Creek</t>
  </si>
  <si>
    <t>R0G 0N0</t>
  </si>
  <si>
    <t>R0E 0K0</t>
  </si>
  <si>
    <t>R4A 9A4</t>
  </si>
  <si>
    <t>Cypress River</t>
  </si>
  <si>
    <t>R0K 0P0</t>
  </si>
  <si>
    <t>West St. Paul</t>
  </si>
  <si>
    <t>Johnston Ideas RR1 Box 58 Darlingford MB R0G 0L0</t>
  </si>
  <si>
    <t>Box 81</t>
  </si>
  <si>
    <t>RR1 Box 58</t>
  </si>
  <si>
    <t>Darlingford</t>
  </si>
  <si>
    <t>R0G 0L0</t>
  </si>
  <si>
    <t>Neepawa</t>
  </si>
  <si>
    <t>R0J 1H0</t>
  </si>
  <si>
    <t>Box 14 GRP RR1</t>
  </si>
  <si>
    <t>Jason Dougal Box 818 Melita MB R0M 1L0</t>
  </si>
  <si>
    <t>Oakridge Holdings Box 88 Roseisle MB R0G 1V0</t>
  </si>
  <si>
    <t>Bray Farms Box 544 Neepawa MB R0J 1H0</t>
  </si>
  <si>
    <t>Box 818</t>
  </si>
  <si>
    <t>Melita</t>
  </si>
  <si>
    <t>R0M 1L0</t>
  </si>
  <si>
    <t>Box 88</t>
  </si>
  <si>
    <t>Roseisle</t>
  </si>
  <si>
    <t>R0G 1V0</t>
  </si>
  <si>
    <t>Box 544</t>
  </si>
  <si>
    <t>1000 Blackdale Rd.</t>
  </si>
  <si>
    <t>6822631 Manitoba Ltd. Box 221 Elm Creek MB R0G 0N0</t>
  </si>
  <si>
    <t>6841385 Manitoba Ltd. Box 423 Elm Creek MB R0G 0N0</t>
  </si>
  <si>
    <t>Devin Andries RR2 Pilot Mound MB R0G 1P0</t>
  </si>
  <si>
    <t>CM Agra 6074 E Rd 70 N Rosser MB R4B 0B7</t>
  </si>
  <si>
    <t>Nathan Dyck Farms Box 149 Roseisle MB R0G 1V0</t>
  </si>
  <si>
    <t>Sapton Acres 69088 Garcon Dundee Rd. Hazelridge MB R5M 0A7</t>
  </si>
  <si>
    <t>SF Confects</t>
  </si>
  <si>
    <t>SF Oils</t>
  </si>
  <si>
    <t>Box 423</t>
  </si>
  <si>
    <t>RR2</t>
  </si>
  <si>
    <t>Pilot Mound</t>
  </si>
  <si>
    <t>R0G 1P0</t>
  </si>
  <si>
    <t>R5M 0A7</t>
  </si>
  <si>
    <t>R4B 0B7</t>
  </si>
  <si>
    <t>6074 E Rd 70 N</t>
  </si>
  <si>
    <t>Rosser</t>
  </si>
  <si>
    <t>Hazelridge</t>
  </si>
  <si>
    <t>Box 149</t>
  </si>
  <si>
    <t>100 Blackdale Rd.</t>
  </si>
  <si>
    <t>69088 Garson Dundee 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</si>
</sst>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;@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3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" fontId="4" fillId="17" borderId="1" applyNumberFormat="0" applyProtection="0">
      <alignment vertical="center"/>
    </xf>
    <xf numFmtId="4" fontId="5" fillId="18" borderId="1" applyNumberFormat="0" applyProtection="0">
      <alignment vertical="center"/>
    </xf>
    <xf numFmtId="4" fontId="4" fillId="18" borderId="1" applyNumberFormat="0" applyProtection="0">
      <alignment horizontal="left" vertical="center" indent="1"/>
    </xf>
    <xf numFmtId="0" fontId="6" fillId="17" borderId="2" applyNumberFormat="0" applyProtection="0">
      <alignment horizontal="left" vertical="top" indent="1"/>
    </xf>
    <xf numFmtId="4" fontId="4" fillId="19" borderId="1" applyNumberFormat="0" applyProtection="0">
      <alignment horizontal="left" vertical="center" indent="1"/>
    </xf>
    <xf numFmtId="4" fontId="4" fillId="20" borderId="1" applyNumberFormat="0" applyProtection="0">
      <alignment horizontal="right" vertical="center"/>
    </xf>
    <xf numFmtId="4" fontId="4" fillId="21" borderId="1" applyNumberFormat="0" applyProtection="0">
      <alignment horizontal="right" vertical="center"/>
    </xf>
    <xf numFmtId="4" fontId="4" fillId="22" borderId="3" applyNumberFormat="0" applyProtection="0">
      <alignment horizontal="right" vertical="center"/>
    </xf>
    <xf numFmtId="4" fontId="4" fillId="23" borderId="1" applyNumberFormat="0" applyProtection="0">
      <alignment horizontal="right" vertical="center"/>
    </xf>
    <xf numFmtId="4" fontId="4" fillId="24" borderId="1" applyNumberFormat="0" applyProtection="0">
      <alignment horizontal="right" vertical="center"/>
    </xf>
    <xf numFmtId="4" fontId="4" fillId="25" borderId="1" applyNumberFormat="0" applyProtection="0">
      <alignment horizontal="right" vertical="center"/>
    </xf>
    <xf numFmtId="4" fontId="4" fillId="26" borderId="1" applyNumberFormat="0" applyProtection="0">
      <alignment horizontal="right" vertical="center"/>
    </xf>
    <xf numFmtId="4" fontId="4" fillId="27" borderId="1" applyNumberFormat="0" applyProtection="0">
      <alignment horizontal="right" vertical="center"/>
    </xf>
    <xf numFmtId="4" fontId="4" fillId="28" borderId="1" applyNumberFormat="0" applyProtection="0">
      <alignment horizontal="right" vertical="center"/>
    </xf>
    <xf numFmtId="4" fontId="4" fillId="29" borderId="3" applyNumberFormat="0" applyProtection="0">
      <alignment horizontal="left" vertical="center" indent="1"/>
    </xf>
    <xf numFmtId="4" fontId="1" fillId="30" borderId="3" applyNumberFormat="0" applyProtection="0">
      <alignment horizontal="left" vertical="center" indent="1"/>
    </xf>
    <xf numFmtId="4" fontId="1" fillId="30" borderId="3" applyNumberFormat="0" applyProtection="0">
      <alignment horizontal="left" vertical="center" indent="1"/>
    </xf>
    <xf numFmtId="4" fontId="4" fillId="31" borderId="1" applyNumberFormat="0" applyProtection="0">
      <alignment horizontal="right" vertical="center"/>
    </xf>
    <xf numFmtId="4" fontId="4" fillId="32" borderId="3" applyNumberFormat="0" applyProtection="0">
      <alignment horizontal="left" vertical="center" indent="1"/>
    </xf>
    <xf numFmtId="4" fontId="4" fillId="31" borderId="3" applyNumberFormat="0" applyProtection="0">
      <alignment horizontal="left" vertical="center" indent="1"/>
    </xf>
    <xf numFmtId="0" fontId="4" fillId="33" borderId="1" applyNumberFormat="0" applyProtection="0">
      <alignment horizontal="left" vertical="center" indent="1"/>
    </xf>
    <xf numFmtId="0" fontId="4" fillId="30" borderId="2" applyNumberFormat="0" applyProtection="0">
      <alignment horizontal="left" vertical="top" indent="1"/>
    </xf>
    <xf numFmtId="0" fontId="4" fillId="34" borderId="1" applyNumberFormat="0" applyProtection="0">
      <alignment horizontal="left" vertical="center" indent="1"/>
    </xf>
    <xf numFmtId="0" fontId="4" fillId="31" borderId="2" applyNumberFormat="0" applyProtection="0">
      <alignment horizontal="left" vertical="top" indent="1"/>
    </xf>
    <xf numFmtId="0" fontId="4" fillId="35" borderId="1" applyNumberFormat="0" applyProtection="0">
      <alignment horizontal="left" vertical="center" indent="1"/>
    </xf>
    <xf numFmtId="0" fontId="4" fillId="35" borderId="2" applyNumberFormat="0" applyProtection="0">
      <alignment horizontal="left" vertical="top" indent="1"/>
    </xf>
    <xf numFmtId="0" fontId="4" fillId="32" borderId="1" applyNumberFormat="0" applyProtection="0">
      <alignment horizontal="left" vertical="center" indent="1"/>
    </xf>
    <xf numFmtId="0" fontId="4" fillId="32" borderId="2" applyNumberFormat="0" applyProtection="0">
      <alignment horizontal="left" vertical="top" indent="1"/>
    </xf>
    <xf numFmtId="0" fontId="4" fillId="36" borderId="4" applyNumberFormat="0">
      <protection locked="0"/>
    </xf>
    <xf numFmtId="0" fontId="7" fillId="30" borderId="5" applyBorder="0"/>
    <xf numFmtId="4" fontId="8" fillId="37" borderId="2" applyNumberFormat="0" applyProtection="0">
      <alignment vertical="center"/>
    </xf>
    <xf numFmtId="4" fontId="5" fillId="38" borderId="6" applyNumberFormat="0" applyProtection="0">
      <alignment vertical="center"/>
    </xf>
    <xf numFmtId="4" fontId="8" fillId="33" borderId="2" applyNumberFormat="0" applyProtection="0">
      <alignment horizontal="left" vertical="center" indent="1"/>
    </xf>
    <xf numFmtId="0" fontId="8" fillId="37" borderId="2" applyNumberFormat="0" applyProtection="0">
      <alignment horizontal="left" vertical="top" indent="1"/>
    </xf>
    <xf numFmtId="4" fontId="4" fillId="0" borderId="1" applyNumberFormat="0" applyProtection="0">
      <alignment horizontal="right" vertical="center"/>
    </xf>
    <xf numFmtId="4" fontId="5" fillId="39" borderId="1" applyNumberFormat="0" applyProtection="0">
      <alignment horizontal="right" vertical="center"/>
    </xf>
    <xf numFmtId="4" fontId="4" fillId="19" borderId="1" applyNumberFormat="0" applyProtection="0">
      <alignment horizontal="left" vertical="center" indent="1"/>
    </xf>
    <xf numFmtId="0" fontId="8" fillId="31" borderId="2" applyNumberFormat="0" applyProtection="0">
      <alignment horizontal="left" vertical="top" indent="1"/>
    </xf>
    <xf numFmtId="4" fontId="9" fillId="40" borderId="3" applyNumberFormat="0" applyProtection="0">
      <alignment horizontal="left" vertical="center" indent="1"/>
    </xf>
    <xf numFmtId="0" fontId="4" fillId="41" borderId="6"/>
    <xf numFmtId="4" fontId="10" fillId="36" borderId="1" applyNumberFormat="0" applyProtection="0">
      <alignment horizontal="right" vertical="center"/>
    </xf>
    <xf numFmtId="0" fontId="11" fillId="0" borderId="0" applyNumberFormat="0" applyFill="0" applyBorder="0" applyAlignment="0" applyProtection="0"/>
    <xf numFmtId="0" fontId="18" fillId="43" borderId="8" applyNumberFormat="0" applyAlignment="0" applyProtection="0"/>
  </cellStyleXfs>
  <cellXfs count="27">
    <xf numFmtId="0" fontId="0" fillId="0" borderId="0" xfId="0"/>
    <xf numFmtId="0" fontId="0" fillId="42" borderId="0" xfId="0" applyFill="1"/>
    <xf numFmtId="0" fontId="13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3" fillId="0" borderId="7" xfId="0" applyFont="1" applyBorder="1"/>
    <xf numFmtId="0" fontId="17" fillId="0" borderId="0" xfId="0" applyFont="1"/>
    <xf numFmtId="0" fontId="15" fillId="44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20" fillId="42" borderId="9" xfId="62" applyFont="1" applyFill="1" applyBorder="1" applyAlignment="1">
      <alignment horizontal="left"/>
    </xf>
    <xf numFmtId="0" fontId="20" fillId="4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20" fillId="42" borderId="0" xfId="0" applyFont="1" applyFill="1"/>
    <xf numFmtId="0" fontId="12" fillId="0" borderId="0" xfId="0" applyFont="1"/>
    <xf numFmtId="164" fontId="0" fillId="0" borderId="0" xfId="0" applyNumberFormat="1" applyAlignment="1">
      <alignment horizontal="center" shrinkToFit="1"/>
    </xf>
    <xf numFmtId="0" fontId="12" fillId="0" borderId="0" xfId="0" applyFont="1" applyAlignment="1">
      <alignment vertical="top"/>
    </xf>
    <xf numFmtId="0" fontId="20" fillId="42" borderId="9" xfId="62" applyFont="1" applyFill="1" applyBorder="1" applyAlignment="1">
      <alignment vertical="top"/>
    </xf>
    <xf numFmtId="164" fontId="12" fillId="0" borderId="0" xfId="0" applyNumberFormat="1" applyFont="1"/>
    <xf numFmtId="164" fontId="20" fillId="0" borderId="0" xfId="0" applyNumberFormat="1" applyFont="1" applyAlignment="1">
      <alignment horizontal="left"/>
    </xf>
    <xf numFmtId="0" fontId="20" fillId="4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4" fontId="12" fillId="45" borderId="0" xfId="0" applyNumberFormat="1" applyFont="1" applyFill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shrinkToFit="1"/>
    </xf>
    <xf numFmtId="166" fontId="0" fillId="0" borderId="0" xfId="0" applyNumberFormat="1" applyAlignment="1">
      <alignment horizontal="center"/>
    </xf>
    <xf numFmtId="0" fontId="14" fillId="0" borderId="0" xfId="0" applyFont="1"/>
  </cellXfs>
  <cellStyles count="63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Input" xfId="62" builtinId="20"/>
    <cellStyle name="Normal" xfId="0" builtinId="0"/>
    <cellStyle name="Normal 2" xfId="1" xr:uid="{00000000-0005-0000-0000-000015000000}"/>
    <cellStyle name="SAPBEXaggData" xfId="20" xr:uid="{00000000-0005-0000-0000-000016000000}"/>
    <cellStyle name="SAPBEXaggDataEmph" xfId="21" xr:uid="{00000000-0005-0000-0000-000017000000}"/>
    <cellStyle name="SAPBEXaggItem" xfId="22" xr:uid="{00000000-0005-0000-0000-000018000000}"/>
    <cellStyle name="SAPBEXaggItemX" xfId="23" xr:uid="{00000000-0005-0000-0000-000019000000}"/>
    <cellStyle name="SAPBEXchaText" xfId="24" xr:uid="{00000000-0005-0000-0000-00001A000000}"/>
    <cellStyle name="SAPBEXexcBad7" xfId="25" xr:uid="{00000000-0005-0000-0000-00001B000000}"/>
    <cellStyle name="SAPBEXexcBad8" xfId="26" xr:uid="{00000000-0005-0000-0000-00001C000000}"/>
    <cellStyle name="SAPBEXexcBad9" xfId="27" xr:uid="{00000000-0005-0000-0000-00001D000000}"/>
    <cellStyle name="SAPBEXexcCritical4" xfId="28" xr:uid="{00000000-0005-0000-0000-00001E000000}"/>
    <cellStyle name="SAPBEXexcCritical5" xfId="29" xr:uid="{00000000-0005-0000-0000-00001F000000}"/>
    <cellStyle name="SAPBEXexcCritical6" xfId="30" xr:uid="{00000000-0005-0000-0000-000020000000}"/>
    <cellStyle name="SAPBEXexcGood1" xfId="31" xr:uid="{00000000-0005-0000-0000-000021000000}"/>
    <cellStyle name="SAPBEXexcGood2" xfId="32" xr:uid="{00000000-0005-0000-0000-000022000000}"/>
    <cellStyle name="SAPBEXexcGood3" xfId="33" xr:uid="{00000000-0005-0000-0000-000023000000}"/>
    <cellStyle name="SAPBEXfilterDrill" xfId="34" xr:uid="{00000000-0005-0000-0000-000024000000}"/>
    <cellStyle name="SAPBEXfilterItem" xfId="35" xr:uid="{00000000-0005-0000-0000-000025000000}"/>
    <cellStyle name="SAPBEXfilterText" xfId="36" xr:uid="{00000000-0005-0000-0000-000026000000}"/>
    <cellStyle name="SAPBEXformats" xfId="37" xr:uid="{00000000-0005-0000-0000-000027000000}"/>
    <cellStyle name="SAPBEXheaderItem" xfId="38" xr:uid="{00000000-0005-0000-0000-000028000000}"/>
    <cellStyle name="SAPBEXheaderText" xfId="39" xr:uid="{00000000-0005-0000-0000-000029000000}"/>
    <cellStyle name="SAPBEXHLevel0" xfId="40" xr:uid="{00000000-0005-0000-0000-00002A000000}"/>
    <cellStyle name="SAPBEXHLevel0X" xfId="41" xr:uid="{00000000-0005-0000-0000-00002B000000}"/>
    <cellStyle name="SAPBEXHLevel1" xfId="42" xr:uid="{00000000-0005-0000-0000-00002C000000}"/>
    <cellStyle name="SAPBEXHLevel1X" xfId="43" xr:uid="{00000000-0005-0000-0000-00002D000000}"/>
    <cellStyle name="SAPBEXHLevel2" xfId="44" xr:uid="{00000000-0005-0000-0000-00002E000000}"/>
    <cellStyle name="SAPBEXHLevel2X" xfId="45" xr:uid="{00000000-0005-0000-0000-00002F000000}"/>
    <cellStyle name="SAPBEXHLevel3" xfId="46" xr:uid="{00000000-0005-0000-0000-000030000000}"/>
    <cellStyle name="SAPBEXHLevel3X" xfId="47" xr:uid="{00000000-0005-0000-0000-000031000000}"/>
    <cellStyle name="SAPBEXinputData" xfId="48" xr:uid="{00000000-0005-0000-0000-000032000000}"/>
    <cellStyle name="SAPBEXItemHeader" xfId="49" xr:uid="{00000000-0005-0000-0000-000033000000}"/>
    <cellStyle name="SAPBEXresData" xfId="50" xr:uid="{00000000-0005-0000-0000-000034000000}"/>
    <cellStyle name="SAPBEXresDataEmph" xfId="51" xr:uid="{00000000-0005-0000-0000-000035000000}"/>
    <cellStyle name="SAPBEXresItem" xfId="52" xr:uid="{00000000-0005-0000-0000-000036000000}"/>
    <cellStyle name="SAPBEXresItemX" xfId="53" xr:uid="{00000000-0005-0000-0000-000037000000}"/>
    <cellStyle name="SAPBEXstdData" xfId="54" xr:uid="{00000000-0005-0000-0000-000038000000}"/>
    <cellStyle name="SAPBEXstdDataEmph" xfId="55" xr:uid="{00000000-0005-0000-0000-000039000000}"/>
    <cellStyle name="SAPBEXstdItem" xfId="56" xr:uid="{00000000-0005-0000-0000-00003A000000}"/>
    <cellStyle name="SAPBEXstdItemX" xfId="57" xr:uid="{00000000-0005-0000-0000-00003B000000}"/>
    <cellStyle name="SAPBEXtitle" xfId="58" xr:uid="{00000000-0005-0000-0000-00003C000000}"/>
    <cellStyle name="SAPBEXunassignedItem" xfId="59" xr:uid="{00000000-0005-0000-0000-00003D000000}"/>
    <cellStyle name="SAPBEXundefined" xfId="60" xr:uid="{00000000-0005-0000-0000-00003E000000}"/>
    <cellStyle name="Sheet Title" xfId="61" xr:uid="{00000000-0005-0000-0000-00003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activeCell="A28" sqref="A28"/>
    </sheetView>
  </sheetViews>
  <sheetFormatPr defaultRowHeight="15" x14ac:dyDescent="0.25"/>
  <cols>
    <col min="1" max="1" width="35.5703125" customWidth="1"/>
    <col min="2" max="2" width="17.28515625" customWidth="1"/>
    <col min="3" max="3" width="64.42578125" customWidth="1"/>
  </cols>
  <sheetData>
    <row r="1" spans="1:3" ht="18.75" x14ac:dyDescent="0.3">
      <c r="A1" s="3" t="s">
        <v>0</v>
      </c>
      <c r="C1" s="7" t="s">
        <v>1</v>
      </c>
    </row>
    <row r="2" spans="1:3" ht="15.75" x14ac:dyDescent="0.25">
      <c r="A2" s="6" t="s">
        <v>2</v>
      </c>
    </row>
    <row r="4" spans="1:3" s="2" customFormat="1" x14ac:dyDescent="0.25">
      <c r="A4" s="5" t="s">
        <v>3</v>
      </c>
      <c r="B4" s="5" t="s">
        <v>4</v>
      </c>
      <c r="C4" s="5" t="s">
        <v>5</v>
      </c>
    </row>
    <row r="5" spans="1:3" x14ac:dyDescent="0.25">
      <c r="A5" s="1" t="s">
        <v>6</v>
      </c>
      <c r="B5" s="1" t="s">
        <v>7</v>
      </c>
    </row>
    <row r="6" spans="1:3" x14ac:dyDescent="0.25">
      <c r="A6" s="1" t="s">
        <v>8</v>
      </c>
      <c r="B6" s="1" t="s">
        <v>9</v>
      </c>
      <c r="C6" t="s">
        <v>10</v>
      </c>
    </row>
    <row r="7" spans="1:3" x14ac:dyDescent="0.25">
      <c r="A7" s="1" t="s">
        <v>11</v>
      </c>
      <c r="B7" s="1" t="s">
        <v>12</v>
      </c>
      <c r="C7" t="s">
        <v>13</v>
      </c>
    </row>
    <row r="8" spans="1:3" x14ac:dyDescent="0.25">
      <c r="A8" s="1" t="s">
        <v>14</v>
      </c>
      <c r="B8" s="1" t="s">
        <v>7</v>
      </c>
    </row>
    <row r="9" spans="1:3" x14ac:dyDescent="0.25">
      <c r="A9" s="1" t="s">
        <v>15</v>
      </c>
      <c r="B9" s="1" t="s">
        <v>7</v>
      </c>
    </row>
    <row r="10" spans="1:3" x14ac:dyDescent="0.25">
      <c r="A10" s="1" t="s">
        <v>16</v>
      </c>
      <c r="B10" s="1" t="s">
        <v>7</v>
      </c>
      <c r="C10" t="s">
        <v>17</v>
      </c>
    </row>
    <row r="11" spans="1:3" x14ac:dyDescent="0.25">
      <c r="A11" s="1" t="s">
        <v>18</v>
      </c>
      <c r="B11" s="1" t="s">
        <v>7</v>
      </c>
    </row>
    <row r="12" spans="1:3" x14ac:dyDescent="0.25">
      <c r="A12" s="1" t="s">
        <v>19</v>
      </c>
      <c r="B12" s="1" t="s">
        <v>7</v>
      </c>
      <c r="C12" t="s">
        <v>20</v>
      </c>
    </row>
    <row r="13" spans="1:3" x14ac:dyDescent="0.25">
      <c r="A13" s="1" t="s">
        <v>21</v>
      </c>
      <c r="B13" s="1" t="s">
        <v>22</v>
      </c>
      <c r="C13" t="s">
        <v>23</v>
      </c>
    </row>
    <row r="14" spans="1:3" x14ac:dyDescent="0.25">
      <c r="A14" s="1" t="s">
        <v>24</v>
      </c>
      <c r="B14" s="1" t="s">
        <v>7</v>
      </c>
    </row>
    <row r="15" spans="1:3" x14ac:dyDescent="0.25">
      <c r="A15" t="s">
        <v>25</v>
      </c>
      <c r="B15" t="s">
        <v>7</v>
      </c>
      <c r="C15" t="s">
        <v>26</v>
      </c>
    </row>
    <row r="16" spans="1:3" x14ac:dyDescent="0.25">
      <c r="A16" t="s">
        <v>27</v>
      </c>
      <c r="B16" t="s">
        <v>28</v>
      </c>
      <c r="C16" t="s">
        <v>29</v>
      </c>
    </row>
    <row r="17" spans="1:5" x14ac:dyDescent="0.25">
      <c r="A17" t="s">
        <v>30</v>
      </c>
      <c r="B17" t="s">
        <v>28</v>
      </c>
      <c r="C17" t="s">
        <v>29</v>
      </c>
    </row>
    <row r="18" spans="1:5" x14ac:dyDescent="0.25">
      <c r="A18" s="1" t="s">
        <v>31</v>
      </c>
      <c r="B18" s="1" t="s">
        <v>28</v>
      </c>
      <c r="C18" t="s">
        <v>32</v>
      </c>
    </row>
    <row r="19" spans="1:5" x14ac:dyDescent="0.25">
      <c r="A19" s="1" t="s">
        <v>33</v>
      </c>
      <c r="B19" s="1" t="s">
        <v>34</v>
      </c>
    </row>
    <row r="20" spans="1:5" x14ac:dyDescent="0.25">
      <c r="A20" t="s">
        <v>34</v>
      </c>
      <c r="B20" t="s">
        <v>7</v>
      </c>
      <c r="C20" t="s">
        <v>35</v>
      </c>
    </row>
    <row r="21" spans="1:5" x14ac:dyDescent="0.25">
      <c r="A21" s="1" t="s">
        <v>36</v>
      </c>
      <c r="B21" s="1" t="s">
        <v>7</v>
      </c>
      <c r="C21" t="s">
        <v>37</v>
      </c>
    </row>
    <row r="22" spans="1:5" x14ac:dyDescent="0.25">
      <c r="A22" s="1" t="s">
        <v>38</v>
      </c>
      <c r="B22" s="1" t="s">
        <v>28</v>
      </c>
    </row>
    <row r="23" spans="1:5" x14ac:dyDescent="0.25">
      <c r="A23" t="s">
        <v>39</v>
      </c>
      <c r="B23" t="s">
        <v>9</v>
      </c>
      <c r="C23" t="s">
        <v>40</v>
      </c>
    </row>
    <row r="24" spans="1:5" x14ac:dyDescent="0.25">
      <c r="A24" s="1" t="s">
        <v>41</v>
      </c>
      <c r="B24" s="1" t="s">
        <v>9</v>
      </c>
      <c r="C24" t="s">
        <v>40</v>
      </c>
    </row>
    <row r="26" spans="1:5" ht="15.75" x14ac:dyDescent="0.25">
      <c r="A26" s="4" t="s">
        <v>42</v>
      </c>
    </row>
    <row r="29" spans="1:5" x14ac:dyDescent="0.25">
      <c r="A29" s="1"/>
      <c r="B29" s="26" t="s">
        <v>43</v>
      </c>
      <c r="C29" s="26"/>
      <c r="D29" s="26"/>
      <c r="E29" s="26"/>
    </row>
    <row r="31" spans="1:5" ht="15.75" x14ac:dyDescent="0.25">
      <c r="A31" s="6" t="s">
        <v>44</v>
      </c>
    </row>
    <row r="32" spans="1:5" x14ac:dyDescent="0.25">
      <c r="A32" s="8" t="s">
        <v>45</v>
      </c>
      <c r="B32" t="s">
        <v>46</v>
      </c>
    </row>
    <row r="33" spans="1:2" x14ac:dyDescent="0.25">
      <c r="A33" s="8"/>
    </row>
    <row r="34" spans="1:2" x14ac:dyDescent="0.25">
      <c r="A34" s="8" t="s">
        <v>47</v>
      </c>
      <c r="B34" t="s">
        <v>48</v>
      </c>
    </row>
    <row r="35" spans="1:2" x14ac:dyDescent="0.25">
      <c r="A35" s="8"/>
      <c r="B35" t="s">
        <v>49</v>
      </c>
    </row>
    <row r="36" spans="1:2" x14ac:dyDescent="0.25">
      <c r="A36" s="8"/>
      <c r="B36" t="s">
        <v>50</v>
      </c>
    </row>
    <row r="37" spans="1:2" x14ac:dyDescent="0.25">
      <c r="A37" s="8"/>
      <c r="B37" t="s">
        <v>51</v>
      </c>
    </row>
    <row r="38" spans="1:2" x14ac:dyDescent="0.25">
      <c r="A38" s="8"/>
    </row>
    <row r="39" spans="1:2" x14ac:dyDescent="0.25">
      <c r="A39" s="8" t="s">
        <v>52</v>
      </c>
      <c r="B39" t="s">
        <v>53</v>
      </c>
    </row>
    <row r="40" spans="1:2" x14ac:dyDescent="0.25">
      <c r="A40" s="8"/>
      <c r="B40" t="s">
        <v>54</v>
      </c>
    </row>
    <row r="41" spans="1:2" x14ac:dyDescent="0.25">
      <c r="A41" s="8"/>
      <c r="B41" t="s">
        <v>55</v>
      </c>
    </row>
    <row r="42" spans="1:2" x14ac:dyDescent="0.25">
      <c r="A42" s="8"/>
    </row>
    <row r="43" spans="1:2" x14ac:dyDescent="0.25">
      <c r="A43" s="8" t="s">
        <v>56</v>
      </c>
      <c r="B43" t="s">
        <v>57</v>
      </c>
    </row>
    <row r="44" spans="1:2" x14ac:dyDescent="0.25">
      <c r="A44" s="8"/>
      <c r="B44" t="s">
        <v>58</v>
      </c>
    </row>
    <row r="45" spans="1:2" x14ac:dyDescent="0.25">
      <c r="A45" s="8"/>
      <c r="B45" t="s">
        <v>59</v>
      </c>
    </row>
    <row r="46" spans="1:2" x14ac:dyDescent="0.25">
      <c r="A46" s="8"/>
      <c r="B46" t="s">
        <v>60</v>
      </c>
    </row>
    <row r="47" spans="1:2" x14ac:dyDescent="0.25">
      <c r="A47" s="8"/>
      <c r="B47" t="s">
        <v>61</v>
      </c>
    </row>
    <row r="48" spans="1:2" x14ac:dyDescent="0.25">
      <c r="A48" s="8"/>
      <c r="B48" t="s">
        <v>62</v>
      </c>
    </row>
    <row r="49" spans="1:2" x14ac:dyDescent="0.25">
      <c r="A49" s="8"/>
      <c r="B49" t="s">
        <v>63</v>
      </c>
    </row>
    <row r="50" spans="1:2" x14ac:dyDescent="0.25">
      <c r="A50" s="8"/>
      <c r="B50" t="s">
        <v>64</v>
      </c>
    </row>
    <row r="51" spans="1:2" x14ac:dyDescent="0.25">
      <c r="A51" s="8"/>
      <c r="B51" t="s">
        <v>65</v>
      </c>
    </row>
    <row r="52" spans="1:2" x14ac:dyDescent="0.25">
      <c r="A52" s="8"/>
      <c r="B52" t="s">
        <v>66</v>
      </c>
    </row>
    <row r="53" spans="1:2" x14ac:dyDescent="0.25">
      <c r="A53" s="8"/>
      <c r="B53" t="s">
        <v>67</v>
      </c>
    </row>
    <row r="54" spans="1:2" x14ac:dyDescent="0.25">
      <c r="A54" s="8"/>
      <c r="B54" t="s">
        <v>68</v>
      </c>
    </row>
    <row r="55" spans="1:2" x14ac:dyDescent="0.25">
      <c r="A55" s="8"/>
      <c r="B55" t="s">
        <v>69</v>
      </c>
    </row>
    <row r="56" spans="1:2" x14ac:dyDescent="0.25">
      <c r="A56" s="8"/>
      <c r="B56" t="s">
        <v>69</v>
      </c>
    </row>
    <row r="57" spans="1:2" x14ac:dyDescent="0.25">
      <c r="A57" s="8"/>
      <c r="B57" t="s">
        <v>70</v>
      </c>
    </row>
    <row r="58" spans="1:2" x14ac:dyDescent="0.25">
      <c r="A58" s="8"/>
      <c r="B58" t="s">
        <v>71</v>
      </c>
    </row>
    <row r="59" spans="1:2" x14ac:dyDescent="0.25">
      <c r="A59" s="8"/>
      <c r="B59" t="s">
        <v>72</v>
      </c>
    </row>
    <row r="60" spans="1:2" x14ac:dyDescent="0.25">
      <c r="A60" s="8"/>
      <c r="B60" t="s">
        <v>73</v>
      </c>
    </row>
    <row r="61" spans="1:2" x14ac:dyDescent="0.25">
      <c r="A61" s="8"/>
      <c r="B61" t="s">
        <v>74</v>
      </c>
    </row>
    <row r="62" spans="1:2" x14ac:dyDescent="0.25">
      <c r="A62" s="8"/>
      <c r="B62" t="s">
        <v>75</v>
      </c>
    </row>
    <row r="63" spans="1:2" x14ac:dyDescent="0.25">
      <c r="A63" s="8"/>
      <c r="B63" t="s">
        <v>76</v>
      </c>
    </row>
    <row r="64" spans="1:2" x14ac:dyDescent="0.25">
      <c r="A64" s="9"/>
    </row>
  </sheetData>
  <sortState xmlns:xlrd2="http://schemas.microsoft.com/office/spreadsheetml/2017/richdata2" ref="B40:B42">
    <sortCondition ref="B40"/>
  </sortState>
  <mergeCells count="1">
    <mergeCell ref="B29:E2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dimension ref="A1:V22"/>
  <sheetViews>
    <sheetView tabSelected="1" view="pageLayout" topLeftCell="A7" zoomScaleNormal="100" workbookViewId="0">
      <selection activeCell="F23" sqref="F23"/>
    </sheetView>
  </sheetViews>
  <sheetFormatPr defaultColWidth="9.140625" defaultRowHeight="15" ns3:dyDescent="0.25"/>
  <cols>
    <col min="1" max="1" width="6" style="14" customWidth="1"/>
    <col min="2" max="2" width="10.85546875" style="14" customWidth="1"/>
    <col min="3" max="3" width="39.140625" style="16" customWidth="1"/>
    <col min="4" max="4" width="11.7109375" style="21" customWidth="1"/>
    <col min="5" max="5" width="8.85546875" style="14" customWidth="1"/>
    <col min="6" max="6" width="16" style="14" customWidth="1"/>
    <col min="7" max="7" width="15.140625" style="14" customWidth="1"/>
    <col min="8" max="8" width="4.85546875" style="14" customWidth="1"/>
    <col min="9" max="9" width="8.28515625" style="14" customWidth="1"/>
    <col min="10" max="10" width="9.28515625" style="14" customWidth="1"/>
    <col min="11" max="11" width="1.28515625" style="14" customWidth="1"/>
    <col min="12" max="12" width="4.85546875" style="14" customWidth="1"/>
    <col min="13" max="13" width="7.140625" style="14" customWidth="1"/>
    <col min="14" max="14" width="13.5703125" style="14" customWidth="1"/>
    <col min="15" max="15" width="9.7109375" style="14" customWidth="1"/>
    <col min="16" max="16" width="5.42578125" style="14" customWidth="1"/>
    <col min="17" max="17" width="10.7109375" style="14" customWidth="1"/>
    <col min="18" max="18" width="9.85546875" style="14" customWidth="1"/>
    <col min="19" max="19" width="10.85546875" style="14" customWidth="1"/>
    <col min="20" max="20" width="10.7109375" style="14" customWidth="1"/>
    <col min="21" max="21" width="18.5703125" style="14" customWidth="1"/>
    <col min="22" max="22" width="12.7109375" style="18" customWidth="1"/>
    <col min="23" max="16384" width="9.140625" style="14"/>
  </cols>
  <sheetData>
    <row r="1" spans="1:22" ns3:dyDescent="0.25">
      <c r="A1" s="10" t="s">
        <v>77</v>
      </c>
      <c r="B1" s="10" t="s">
        <v>78</v>
      </c>
      <c r="C1" s="17" t="s">
        <v>79</v>
      </c>
      <c r="D1" s="20" t="s">
        <v>80</v>
      </c>
      <c r="E1" s="11" t="s">
        <v>81</v>
      </c>
      <c r="F1" s="11" t="s">
        <v>16</v>
      </c>
      <c r="G1" s="11" t="s">
        <v>18</v>
      </c>
      <c r="H1" s="11" t="s">
        <v>19</v>
      </c>
      <c r="I1" s="11" t="s">
        <v>82</v>
      </c>
      <c r="J1" s="11" t="s">
        <v>24</v>
      </c>
      <c r="K1" s="12" t="s">
        <v>83</v>
      </c>
      <c r="L1" s="12" t="s">
        <v>27</v>
      </c>
      <c r="M1" s="12" t="s">
        <v>30</v>
      </c>
      <c r="N1" s="11" t="s">
        <v>84</v>
      </c>
      <c r="O1" s="13" t="s">
        <v>85</v>
      </c>
      <c r="P1" s="12" t="s">
        <v>34</v>
      </c>
      <c r="Q1" s="11" t="s">
        <v>86</v>
      </c>
      <c r="R1" s="11" t="s">
        <v>87</v>
      </c>
      <c r="S1" s="12" t="s">
        <v>39</v>
      </c>
      <c r="T1" s="12" t="s">
        <v>88</v>
      </c>
      <c r="U1" s="12" t="s">
        <v>89</v>
      </c>
      <c r="V1" s="19"/>
    </row>
    <row r="2" spans="1:22" ns3:dyDescent="0.25">
      <c r="A2" t="s">
        <v>93</v>
      </c>
      <c r="B2" s="23">
        <v>46062</v>
      </c>
      <c r="C2" s="24" t="s">
        <v>125</v>
      </c>
      <c r="D2" s="15"/>
      <c r="E2"/>
      <c r="F2" t="s">
        <v>98</v>
      </c>
      <c r="G2" t="s">
        <v>99</v>
      </c>
      <c r="H2" t="s">
        <v>90</v>
      </c>
      <c r="I2" t="s">
        <v>100</v>
      </c>
      <c r="J2" t="s">
        <v>91</v>
      </c>
      <c r="L2" s="14">
        <v>2</v>
      </c>
      <c r="M2" s="14">
        <v>2026</v>
      </c>
      <c r="N2" s="25">
        <v>18.925999999999998</v>
      </c>
      <c r="O2" s="15">
        <v>881.84</v>
      </c>
      <c r="P2" t="s">
        <v>92</v>
      </c>
      <c r="Q2" s="24" t="s">
        <v>131</v>
      </c>
      <c r="R2" s="24">
        <v>64669</v>
      </c>
      <c r="S2" s="23">
        <v>46062</v>
      </c>
      <c r="T2" s="23">
        <v>46062</v>
      </c>
      <c r="U2" s="15">
        <f t="shared" ref="U2:U22" si="0">N2*O2*0.005</f>
        <v>83.448519199999993</v>
      </c>
    </row>
    <row r="3" spans="1:22" ns3:dyDescent="0.25">
      <c r="A3" t="s">
        <v>93</v>
      </c>
      <c r="B3" s="23">
        <v>46062</v>
      </c>
      <c r="C3" s="24" t="s">
        <v>126</v>
      </c>
      <c r="F3" t="s">
        <v>133</v>
      </c>
      <c r="G3" t="s">
        <v>99</v>
      </c>
      <c r="H3" t="s">
        <v>90</v>
      </c>
      <c r="I3" t="s">
        <v>100</v>
      </c>
      <c r="J3" t="s">
        <v>91</v>
      </c>
      <c r="L3">
        <v>2</v>
      </c>
      <c r="M3" s="14">
        <v>2026</v>
      </c>
      <c r="N3" s="25">
        <v>34.707000000000001</v>
      </c>
      <c r="O3" s="15">
        <v>881.84</v>
      </c>
      <c r="P3" t="s">
        <v>92</v>
      </c>
      <c r="Q3" s="24" t="s">
        <v>131</v>
      </c>
      <c r="R3" s="24">
        <v>64670</v>
      </c>
      <c r="S3" s="23">
        <v>46062</v>
      </c>
      <c r="T3" s="23">
        <v>46062</v>
      </c>
      <c r="U3" s="15">
        <f t="shared" si="0"/>
        <v>153.0301044</v>
      </c>
    </row>
    <row r="4" spans="1:22" ns3:dyDescent="0.25">
      <c r="A4" t="s">
        <v>93</v>
      </c>
      <c r="B4" s="23">
        <v>46062</v>
      </c>
      <c r="C4" s="24" t="s">
        <v>114</v>
      </c>
      <c r="F4" t="s">
        <v>117</v>
      </c>
      <c r="G4" t="s">
        <v>118</v>
      </c>
      <c r="H4" t="s">
        <v>90</v>
      </c>
      <c r="I4" t="s">
        <v>119</v>
      </c>
      <c r="J4" t="s">
        <v>91</v>
      </c>
      <c r="L4" s="14">
        <v>2</v>
      </c>
      <c r="M4" s="14">
        <v>2026</v>
      </c>
      <c r="N4" s="25">
        <v>19.707000000000001</v>
      </c>
      <c r="O4" s="15">
        <v>881.84</v>
      </c>
      <c r="P4" t="s">
        <v>92</v>
      </c>
      <c r="Q4" s="24" t="s">
        <v>131</v>
      </c>
      <c r="R4" s="24">
        <v>64671</v>
      </c>
      <c r="S4" s="23">
        <v>46062</v>
      </c>
      <c r="T4" s="23">
        <v>46062</v>
      </c>
      <c r="U4" s="15">
        <f t="shared" si="0"/>
        <v>86.892104400000008</v>
      </c>
    </row>
    <row r="5" spans="1:22" ns3:dyDescent="0.25">
      <c r="A5" t="s">
        <v>93</v>
      </c>
      <c r="B5" s="23">
        <v>46062</v>
      </c>
      <c r="C5" s="24" t="s">
        <v>127</v>
      </c>
      <c r="F5" t="s">
        <v>134</v>
      </c>
      <c r="G5" t="s">
        <v>135</v>
      </c>
      <c r="H5" t="s">
        <v>90</v>
      </c>
      <c r="I5" t="s">
        <v>136</v>
      </c>
      <c r="J5" t="s">
        <v>91</v>
      </c>
      <c r="L5" s="14">
        <v>2</v>
      </c>
      <c r="M5" s="14">
        <v>2026</v>
      </c>
      <c r="N5" s="25">
        <v>28.11</v>
      </c>
      <c r="O5" s="15">
        <v>825</v>
      </c>
      <c r="P5" t="s">
        <v>92</v>
      </c>
      <c r="Q5" s="24" t="s">
        <v>131</v>
      </c>
      <c r="R5" s="24">
        <v>64672</v>
      </c>
      <c r="S5" s="23">
        <v>46062</v>
      </c>
      <c r="T5" s="23">
        <v>46062</v>
      </c>
      <c r="U5" s="15">
        <f t="shared" si="0"/>
        <v>115.95375</v>
      </c>
    </row>
    <row r="6" spans="1:22" ns3:dyDescent="0.25">
      <c r="A6" t="s">
        <v>93</v>
      </c>
      <c r="B6" s="23">
        <v>46070</v>
      </c>
      <c r="C6" s="24" t="s">
        <v>127</v>
      </c>
      <c r="F6" t="s">
        <v>134</v>
      </c>
      <c r="G6" t="s">
        <v>135</v>
      </c>
      <c r="H6" t="s">
        <v>90</v>
      </c>
      <c r="I6" t="s">
        <v>136</v>
      </c>
      <c r="J6" t="s">
        <v>91</v>
      </c>
      <c r="L6">
        <v>2</v>
      </c>
      <c r="M6" s="14">
        <v>2026</v>
      </c>
      <c r="N6" s="25">
        <v>27.951000000000001</v>
      </c>
      <c r="O6" s="15">
        <v>825</v>
      </c>
      <c r="P6" t="s">
        <v>92</v>
      </c>
      <c r="Q6" s="24" t="s">
        <v>131</v>
      </c>
      <c r="R6" s="24">
        <v>64748</v>
      </c>
      <c r="S6" s="23">
        <v>46070</v>
      </c>
      <c r="T6" s="23">
        <v>46070</v>
      </c>
      <c r="U6" s="15">
        <f t="shared" si="0"/>
        <v>115.297875</v>
      </c>
    </row>
    <row r="7" spans="1:22" ns3:dyDescent="0.25">
      <c r="A7" t="s">
        <v>93</v>
      </c>
      <c r="B7" s="23">
        <v>46076</v>
      </c>
      <c r="C7" s="24" t="s">
        <v>127</v>
      </c>
      <c r="F7" t="s">
        <v>134</v>
      </c>
      <c r="G7" t="s">
        <v>135</v>
      </c>
      <c r="H7" t="s">
        <v>90</v>
      </c>
      <c r="I7" t="s">
        <v>136</v>
      </c>
      <c r="J7" t="s">
        <v>91</v>
      </c>
      <c r="L7" s="14">
        <v>2</v>
      </c>
      <c r="M7" s="14">
        <v>2026</v>
      </c>
      <c r="N7" s="25">
        <v>11.185</v>
      </c>
      <c r="O7" s="15">
        <v>825</v>
      </c>
      <c r="P7" t="s">
        <v>92</v>
      </c>
      <c r="Q7" s="24" t="s">
        <v>131</v>
      </c>
      <c r="R7" s="24">
        <v>64805</v>
      </c>
      <c r="S7" s="23">
        <v>46076</v>
      </c>
      <c r="T7" s="23">
        <v>46076</v>
      </c>
      <c r="U7" s="15">
        <f t="shared" si="0"/>
        <v>46.138125000000002</v>
      </c>
    </row>
    <row r="8" spans="1:22" ns3:dyDescent="0.25">
      <c r="A8" t="s">
        <v>93</v>
      </c>
      <c r="B8" s="23">
        <v>46076</v>
      </c>
      <c r="C8" s="24" t="s">
        <v>95</v>
      </c>
      <c r="F8" t="s">
        <v>107</v>
      </c>
      <c r="G8" t="s">
        <v>103</v>
      </c>
      <c r="H8" t="s">
        <v>90</v>
      </c>
      <c r="I8" t="s">
        <v>104</v>
      </c>
      <c r="J8" t="s">
        <v>91</v>
      </c>
      <c r="L8" s="14">
        <v>2</v>
      </c>
      <c r="M8" s="14">
        <v>2026</v>
      </c>
      <c r="N8" s="25">
        <v>1.083</v>
      </c>
      <c r="O8" s="15">
        <v>881.84</v>
      </c>
      <c r="P8" t="s">
        <v>92</v>
      </c>
      <c r="Q8" s="24" t="s">
        <v>131</v>
      </c>
      <c r="R8" s="24">
        <v>64806</v>
      </c>
      <c r="S8" s="23">
        <v>46076</v>
      </c>
      <c r="T8" s="23">
        <v>46076</v>
      </c>
      <c r="U8" s="15">
        <f t="shared" si="0"/>
        <v>4.7751636</v>
      </c>
    </row>
    <row r="9" spans="1:22" ns3:dyDescent="0.25">
      <c r="A9" t="s">
        <v>93</v>
      </c>
      <c r="B9" s="23">
        <v>46076</v>
      </c>
      <c r="C9" s="24" t="s">
        <v>114</v>
      </c>
      <c r="F9" t="s">
        <v>117</v>
      </c>
      <c r="G9" t="s">
        <v>118</v>
      </c>
      <c r="H9" t="s">
        <v>90</v>
      </c>
      <c r="I9" t="s">
        <v>119</v>
      </c>
      <c r="J9" t="s">
        <v>91</v>
      </c>
      <c r="L9" s="14">
        <v>2</v>
      </c>
      <c r="M9" s="14">
        <v>2026</v>
      </c>
      <c r="N9" s="25">
        <v>35.326999999999998</v>
      </c>
      <c r="O9" s="15">
        <v>881.84</v>
      </c>
      <c r="P9" t="s">
        <v>92</v>
      </c>
      <c r="Q9" s="24" t="s">
        <v>131</v>
      </c>
      <c r="R9" s="24">
        <v>64807</v>
      </c>
      <c r="S9" s="23">
        <v>46076</v>
      </c>
      <c r="T9" s="23">
        <v>46076</v>
      </c>
      <c r="U9" s="15">
        <f t="shared" si="0"/>
        <v>155.76380839999999</v>
      </c>
    </row>
    <row r="10" spans="1:22" ns3:dyDescent="0.25">
      <c r="A10" t="s">
        <v>93</v>
      </c>
      <c r="B10" s="23">
        <v>46055</v>
      </c>
      <c r="C10" s="24" t="s">
        <v>128</v>
      </c>
      <c r="F10" t="s">
        <v>139</v>
      </c>
      <c r="G10" t="s">
        <v>140</v>
      </c>
      <c r="H10" t="s">
        <v>90</v>
      </c>
      <c r="I10" t="s">
        <v>138</v>
      </c>
      <c r="J10" t="s">
        <v>91</v>
      </c>
      <c r="L10">
        <v>2</v>
      </c>
      <c r="M10" s="14">
        <v>2026</v>
      </c>
      <c r="N10" s="25">
        <v>64.138000000000005</v>
      </c>
      <c r="O10" s="15">
        <v>683.43</v>
      </c>
      <c r="P10" t="s">
        <v>92</v>
      </c>
      <c r="Q10" s="24" t="s">
        <v>132</v>
      </c>
      <c r="R10" s="24">
        <v>64587</v>
      </c>
      <c r="S10" s="23">
        <v>46055</v>
      </c>
      <c r="T10" s="23">
        <v>46055</v>
      </c>
      <c r="U10" s="15">
        <f t="shared" si="0"/>
        <v>219.16916670000001</v>
      </c>
    </row>
    <row r="11" spans="1:22" ns3:dyDescent="0.25">
      <c r="A11" t="s">
        <v>93</v>
      </c>
      <c r="B11" s="23">
        <v>46055</v>
      </c>
      <c r="C11" s="24" t="s">
        <v>97</v>
      </c>
      <c r="F11" t="s">
        <v>124</v>
      </c>
      <c r="G11" t="s">
        <v>105</v>
      </c>
      <c r="H11" t="s">
        <v>90</v>
      </c>
      <c r="I11" t="s">
        <v>102</v>
      </c>
      <c r="J11" t="s">
        <v>91</v>
      </c>
      <c r="L11" s="14">
        <v>2</v>
      </c>
      <c r="M11" s="14">
        <v>2026</v>
      </c>
      <c r="N11" s="25">
        <v>27.38</v>
      </c>
      <c r="O11" s="15">
        <v>661.38</v>
      </c>
      <c r="P11" t="s">
        <v>92</v>
      </c>
      <c r="Q11" s="24" t="s">
        <v>132</v>
      </c>
      <c r="R11" s="24">
        <v>64588</v>
      </c>
      <c r="S11" s="23">
        <v>46055</v>
      </c>
      <c r="T11" s="23">
        <v>46055</v>
      </c>
      <c r="U11" s="15">
        <f t="shared" si="0"/>
        <v>90.542922000000004</v>
      </c>
    </row>
    <row r="12" spans="1:22" ns3:dyDescent="0.25">
      <c r="A12" t="s">
        <v>93</v>
      </c>
      <c r="B12" s="23">
        <v>46062</v>
      </c>
      <c r="C12" s="24" t="s">
        <v>106</v>
      </c>
      <c r="F12" t="s">
        <v>108</v>
      </c>
      <c r="G12" t="s">
        <v>109</v>
      </c>
      <c r="H12" t="s">
        <v>90</v>
      </c>
      <c r="I12" t="s">
        <v>110</v>
      </c>
      <c r="J12" t="s">
        <v>91</v>
      </c>
      <c r="L12" s="14">
        <v>2</v>
      </c>
      <c r="M12" s="14">
        <v>2026</v>
      </c>
      <c r="N12" s="25">
        <v>57.548000000000002</v>
      </c>
      <c r="O12" s="15">
        <v>705.47</v>
      </c>
      <c r="P12" t="s">
        <v>92</v>
      </c>
      <c r="Q12" s="24" t="s">
        <v>132</v>
      </c>
      <c r="R12" s="24">
        <v>64666</v>
      </c>
      <c r="S12" s="23">
        <v>46062</v>
      </c>
      <c r="T12" s="23">
        <v>46062</v>
      </c>
      <c r="U12" s="15">
        <f t="shared" si="0"/>
        <v>202.99193780000002</v>
      </c>
    </row>
    <row r="13" spans="1:22" ns3:dyDescent="0.25">
      <c r="A13" t="s">
        <v>93</v>
      </c>
      <c r="B13" s="23">
        <v>46062</v>
      </c>
      <c r="C13" s="24" t="s">
        <v>96</v>
      </c>
      <c r="F13" t="s">
        <v>113</v>
      </c>
      <c r="G13" t="s">
        <v>94</v>
      </c>
      <c r="H13" t="s">
        <v>90</v>
      </c>
      <c r="I13" t="s">
        <v>101</v>
      </c>
      <c r="J13" t="s">
        <v>91</v>
      </c>
      <c r="L13" s="14">
        <v>2</v>
      </c>
      <c r="M13" s="14">
        <v>2026</v>
      </c>
      <c r="N13" s="25">
        <v>22.173999999999999</v>
      </c>
      <c r="O13" s="15">
        <v>727.52</v>
      </c>
      <c r="P13" t="s">
        <v>92</v>
      </c>
      <c r="Q13" s="24" t="s">
        <v>132</v>
      </c>
      <c r="R13" s="24">
        <v>64667</v>
      </c>
      <c r="S13" s="23">
        <v>46062</v>
      </c>
      <c r="T13" s="23">
        <v>46062</v>
      </c>
      <c r="U13" s="15">
        <f t="shared" si="0"/>
        <v>80.660142399999998</v>
      </c>
    </row>
    <row r="14" spans="1:22" ns3:dyDescent="0.25">
      <c r="A14" t="s">
        <v>93</v>
      </c>
      <c r="B14" s="23">
        <v>46062</v>
      </c>
      <c r="C14" s="24" t="s">
        <v>129</v>
      </c>
      <c r="F14" t="s">
        <v>142</v>
      </c>
      <c r="G14" t="s">
        <v>121</v>
      </c>
      <c r="H14" t="s">
        <v>90</v>
      </c>
      <c r="I14" t="s">
        <v>122</v>
      </c>
      <c r="J14" t="s">
        <v>91</v>
      </c>
      <c r="L14">
        <v>2</v>
      </c>
      <c r="M14" s="14">
        <v>2026</v>
      </c>
      <c r="N14" s="25">
        <v>30.22</v>
      </c>
      <c r="O14" s="15">
        <v>727.52</v>
      </c>
      <c r="P14" t="s">
        <v>92</v>
      </c>
      <c r="Q14" s="24" t="s">
        <v>132</v>
      </c>
      <c r="R14" s="24">
        <v>64668</v>
      </c>
      <c r="S14" s="23">
        <v>46062</v>
      </c>
      <c r="T14" s="23">
        <v>46062</v>
      </c>
      <c r="U14" s="15">
        <f t="shared" si="0"/>
        <v>109.92827199999999</v>
      </c>
    </row>
    <row r="15" spans="1:22" ns3:dyDescent="0.25">
      <c r="A15" t="s">
        <v>93</v>
      </c>
      <c r="B15" s="23">
        <v>46062</v>
      </c>
      <c r="C15" s="24" t="s">
        <v>115</v>
      </c>
      <c r="F15" t="s">
        <v>120</v>
      </c>
      <c r="G15" t="s">
        <v>121</v>
      </c>
      <c r="H15" t="s">
        <v>90</v>
      </c>
      <c r="I15" t="s">
        <v>122</v>
      </c>
      <c r="J15" t="s">
        <v>91</v>
      </c>
      <c r="L15" s="14">
        <v>2</v>
      </c>
      <c r="M15" s="14">
        <v>2026</v>
      </c>
      <c r="N15" s="25">
        <v>23.251000000000001</v>
      </c>
      <c r="O15" s="15">
        <v>683.43</v>
      </c>
      <c r="P15" t="s">
        <v>92</v>
      </c>
      <c r="Q15" s="24" t="s">
        <v>132</v>
      </c>
      <c r="R15" s="24">
        <v>64673</v>
      </c>
      <c r="S15" s="23">
        <v>46062</v>
      </c>
      <c r="T15" s="23">
        <v>46062</v>
      </c>
      <c r="U15" s="15">
        <f t="shared" si="0"/>
        <v>79.452154649999997</v>
      </c>
    </row>
    <row r="16" spans="1:22" ns3:dyDescent="0.25">
      <c r="A16" t="s">
        <v>93</v>
      </c>
      <c r="B16" s="23">
        <v>46070</v>
      </c>
      <c r="C16" s="24" t="s">
        <v>115</v>
      </c>
      <c r="F16" t="s">
        <v>120</v>
      </c>
      <c r="G16" t="s">
        <v>121</v>
      </c>
      <c r="H16" t="s">
        <v>90</v>
      </c>
      <c r="I16" t="s">
        <v>122</v>
      </c>
      <c r="J16" t="s">
        <v>91</v>
      </c>
      <c r="L16" s="14">
        <v>2</v>
      </c>
      <c r="M16" s="14">
        <v>2026</v>
      </c>
      <c r="N16" s="25">
        <v>77.804000000000002</v>
      </c>
      <c r="O16" s="15">
        <v>727.52</v>
      </c>
      <c r="P16" t="s">
        <v>92</v>
      </c>
      <c r="Q16" s="24" t="s">
        <v>132</v>
      </c>
      <c r="R16" s="24">
        <v>64745</v>
      </c>
      <c r="S16" s="23">
        <v>46070</v>
      </c>
      <c r="T16" s="23">
        <v>46070</v>
      </c>
      <c r="U16" s="15">
        <f t="shared" si="0"/>
        <v>283.01983039999999</v>
      </c>
    </row>
    <row r="17" spans="1:21" ns3:dyDescent="0.25">
      <c r="A17" t="s">
        <v>93</v>
      </c>
      <c r="B17" s="23">
        <v>46070</v>
      </c>
      <c r="C17" s="24" t="s">
        <v>95</v>
      </c>
      <c r="F17" t="s">
        <v>107</v>
      </c>
      <c r="G17" t="s">
        <v>103</v>
      </c>
      <c r="H17" t="s">
        <v>90</v>
      </c>
      <c r="I17" t="s">
        <v>104</v>
      </c>
      <c r="J17" t="s">
        <v>91</v>
      </c>
      <c r="L17" s="14">
        <v>2</v>
      </c>
      <c r="M17" s="14">
        <v>2026</v>
      </c>
      <c r="N17" s="25">
        <v>25.777000000000001</v>
      </c>
      <c r="O17" s="15">
        <v>595.25</v>
      </c>
      <c r="P17" t="s">
        <v>92</v>
      </c>
      <c r="Q17" s="24" t="s">
        <v>132</v>
      </c>
      <c r="R17" s="24">
        <v>64746</v>
      </c>
      <c r="S17" s="23">
        <v>46070</v>
      </c>
      <c r="T17" s="23">
        <v>46070</v>
      </c>
      <c r="U17" s="15">
        <f t="shared" si="0"/>
        <v>76.718796250000011</v>
      </c>
    </row>
    <row r="18" spans="1:21" ns3:dyDescent="0.25">
      <c r="A18" t="s">
        <v>93</v>
      </c>
      <c r="B18" s="23">
        <v>46070</v>
      </c>
      <c r="C18" s="24" t="s">
        <v>116</v>
      </c>
      <c r="F18" t="s">
        <v>123</v>
      </c>
      <c r="G18" t="s">
        <v>111</v>
      </c>
      <c r="H18" t="s">
        <v>90</v>
      </c>
      <c r="I18" t="s">
        <v>112</v>
      </c>
      <c r="J18" t="s">
        <v>91</v>
      </c>
      <c r="L18">
        <v>2</v>
      </c>
      <c r="M18" s="14">
        <v>2026</v>
      </c>
      <c r="N18" s="25">
        <v>79.983999999999995</v>
      </c>
      <c r="O18" s="15">
        <v>622.79999999999995</v>
      </c>
      <c r="Q18" s="24" t="s">
        <v>132</v>
      </c>
      <c r="R18" s="24">
        <v>64747</v>
      </c>
      <c r="S18" s="23">
        <v>46070</v>
      </c>
      <c r="T18" s="23">
        <v>46070</v>
      </c>
      <c r="U18" s="15">
        <f t="shared" si="0"/>
        <v>249.07017599999998</v>
      </c>
    </row>
    <row r="19" spans="1:21" ns3:dyDescent="0.25">
      <c r="A19" t="s">
        <v>93</v>
      </c>
      <c r="B19" s="23">
        <v>46070</v>
      </c>
      <c r="C19" s="24" t="s">
        <v>97</v>
      </c>
      <c r="F19" t="s">
        <v>143</v>
      </c>
      <c r="G19" t="s">
        <v>105</v>
      </c>
      <c r="H19" t="s">
        <v>90</v>
      </c>
      <c r="I19" t="s">
        <v>102</v>
      </c>
      <c r="J19" t="s">
        <v>91</v>
      </c>
      <c r="L19" s="14">
        <v>2</v>
      </c>
      <c r="M19" s="14">
        <v>2026</v>
      </c>
      <c r="N19" s="25">
        <v>21.934000000000001</v>
      </c>
      <c r="O19" s="15">
        <v>661.38</v>
      </c>
      <c r="Q19" s="24" t="s">
        <v>132</v>
      </c>
      <c r="R19" s="24">
        <v>64749</v>
      </c>
      <c r="S19" s="23">
        <v>46070</v>
      </c>
      <c r="T19" s="23">
        <v>46070</v>
      </c>
      <c r="U19" s="15">
        <f t="shared" si="0"/>
        <v>72.533544600000013</v>
      </c>
    </row>
    <row r="20" spans="1:21" ns3:dyDescent="0.25">
      <c r="A20" t="s">
        <v>93</v>
      </c>
      <c r="B20" s="23">
        <v>46070</v>
      </c>
      <c r="C20" s="24" t="s">
        <v>130</v>
      </c>
      <c r="F20" t="s">
        <v>144</v>
      </c>
      <c r="G20" t="s">
        <v>141</v>
      </c>
      <c r="H20" t="s">
        <v>90</v>
      </c>
      <c r="I20" t="s">
        <v>137</v>
      </c>
      <c r="J20" t="s">
        <v>91</v>
      </c>
      <c r="L20" s="14">
        <v>2</v>
      </c>
      <c r="M20" s="14">
        <v>2026</v>
      </c>
      <c r="N20" s="25">
        <v>27.207999999999998</v>
      </c>
      <c r="O20" s="15">
        <v>606.27</v>
      </c>
      <c r="Q20" s="24" t="s">
        <v>132</v>
      </c>
      <c r="R20" s="24">
        <v>64750</v>
      </c>
      <c r="S20" s="23">
        <v>46070</v>
      </c>
      <c r="T20" s="23">
        <v>46070</v>
      </c>
      <c r="U20" s="15">
        <f t="shared" si="0"/>
        <v>82.476970800000004</v>
      </c>
    </row>
    <row r="21" spans="1:21" ns3:dyDescent="0.25">
      <c r="A21" t="s">
        <v>93</v>
      </c>
      <c r="B21" s="23">
        <v>46070</v>
      </c>
      <c r="C21" s="24" t="s">
        <v>128</v>
      </c>
      <c r="F21" t="s">
        <v>139</v>
      </c>
      <c r="G21" t="s">
        <v>140</v>
      </c>
      <c r="H21" t="s">
        <v>90</v>
      </c>
      <c r="I21" t="s">
        <v>138</v>
      </c>
      <c r="J21" t="s">
        <v>91</v>
      </c>
      <c r="L21" s="14">
        <v>2</v>
      </c>
      <c r="M21" s="14">
        <v>2026</v>
      </c>
      <c r="N21" s="25">
        <v>46.536999999999999</v>
      </c>
      <c r="O21" s="15">
        <v>661.38</v>
      </c>
      <c r="Q21" s="24" t="s">
        <v>132</v>
      </c>
      <c r="R21" s="24">
        <v>64751</v>
      </c>
      <c r="S21" s="23">
        <v>46070</v>
      </c>
      <c r="T21" s="23">
        <v>46070</v>
      </c>
      <c r="U21" s="15">
        <f t="shared" si="0"/>
        <v>153.89320530000001</v>
      </c>
    </row>
    <row r="22" spans="1:21" ns3:dyDescent="0.25">
      <c r="A22" t="s">
        <v>93</v>
      </c>
      <c r="B22" s="23">
        <v>46076</v>
      </c>
      <c r="C22" s="24" t="s">
        <v>130</v>
      </c>
      <c r="F22" t="s">
        <v>144</v>
      </c>
      <c r="G22" t="s">
        <v>141</v>
      </c>
      <c r="H22" t="s">
        <v>90</v>
      </c>
      <c r="I22" t="s">
        <v>137</v>
      </c>
      <c r="J22" t="s">
        <v>91</v>
      </c>
      <c r="L22">
        <v>2</v>
      </c>
      <c r="M22" s="14">
        <v>2026</v>
      </c>
      <c r="N22" s="25">
        <v>21.547000000000001</v>
      </c>
      <c r="O22" s="15">
        <v>606.27</v>
      </c>
      <c r="Q22" s="24" t="s">
        <v>132</v>
      </c>
      <c r="R22" s="24">
        <v>64804</v>
      </c>
      <c r="S22" s="23">
        <v>46076</v>
      </c>
      <c r="T22" s="23">
        <v>46076</v>
      </c>
      <c r="U22" s="15">
        <f t="shared" si="0"/>
        <v>65.316498449999997</v>
      </c>
    </row>
  </sheetData>
  <autoFilter ref="C1:C23" ns2:uid="{00000000-0001-0000-0100-000000000000}"/>
  <sortState ref="A2:U2">
    <sortCondition ref="B2"/>
  </sortState>
  <phoneticPr fontId="21" type="noConversion"/>
  <pageMargins left="0.7" right="0.7" top="0.75" bottom="0.75" header="0.3" footer="0.3"/>
  <pageSetup orientation="landscape" r:id="rId1"/>
  <headerFooter>
    <oddHeader>&amp;C&amp;20VCS SF Check Off February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Rae Jackson</cp:lastModifiedBy>
  <cp:revision/>
  <dcterms:created xsi:type="dcterms:W3CDTF">2016-07-15T17:14:41Z</dcterms:created>
  <dcterms:modified xsi:type="dcterms:W3CDTF">2026-04-17T15:18:56Z</dcterms:modified>
</cp:coreProperties>
</file>